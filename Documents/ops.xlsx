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IT\Desktop\FINAL_PROJECT\Documents\"/>
    </mc:Choice>
  </mc:AlternateContent>
  <xr:revisionPtr revIDLastSave="0" documentId="13_ncr:1_{A7D1BAFE-B9F2-469D-A576-6A9205FE21F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A26" i="1"/>
  <c r="A27" i="1" s="1"/>
  <c r="A28" i="1" s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<sst xmlns="http://schemas.openxmlformats.org/spreadsheetml/2006/main" count="167" uniqueCount="117">
  <si>
    <t>BYTE 1</t>
  </si>
  <si>
    <t>BYTE 2</t>
  </si>
  <si>
    <t>Mnemonic</t>
  </si>
  <si>
    <t>Description</t>
  </si>
  <si>
    <t>OPCODE</t>
  </si>
  <si>
    <t>OPERANTS</t>
  </si>
  <si>
    <t>Pseudocode</t>
  </si>
  <si>
    <t>Format</t>
  </si>
  <si>
    <t>MOV</t>
  </si>
  <si>
    <t>MODE</t>
  </si>
  <si>
    <t>ADD</t>
  </si>
  <si>
    <t>Addition</t>
  </si>
  <si>
    <t>SUB</t>
  </si>
  <si>
    <t>Subtraction</t>
  </si>
  <si>
    <t>Rd &lt;- Rd - Rs</t>
  </si>
  <si>
    <t>AND</t>
  </si>
  <si>
    <t>Bitwise AND</t>
  </si>
  <si>
    <t>Rd &lt;- Rd &amp; Rs</t>
  </si>
  <si>
    <t>OR</t>
  </si>
  <si>
    <t>Bitwise OR</t>
  </si>
  <si>
    <t>XOR</t>
  </si>
  <si>
    <t>Bitwise XOR</t>
  </si>
  <si>
    <t>Rd &lt;- Rd ^ Rs</t>
  </si>
  <si>
    <t>MUL</t>
  </si>
  <si>
    <t>SHF</t>
  </si>
  <si>
    <t>LD</t>
  </si>
  <si>
    <t>Load word</t>
  </si>
  <si>
    <t>Rd &lt;- Mem[Rs + offset]</t>
  </si>
  <si>
    <t>ST</t>
  </si>
  <si>
    <t>Store word</t>
  </si>
  <si>
    <t>Mem[Rs + offset] &lt;- Rd</t>
  </si>
  <si>
    <t>CMP</t>
  </si>
  <si>
    <t>BR</t>
  </si>
  <si>
    <t>HLT</t>
  </si>
  <si>
    <t>CONDITION CODES</t>
  </si>
  <si>
    <t>Stop the program</t>
  </si>
  <si>
    <t>Exit</t>
  </si>
  <si>
    <t>Code</t>
  </si>
  <si>
    <t>SET FLAGS</t>
  </si>
  <si>
    <t>Compare</t>
  </si>
  <si>
    <t>Conditional branch using flags</t>
  </si>
  <si>
    <t>OFFSET</t>
  </si>
  <si>
    <t>Rd</t>
  </si>
  <si>
    <t>Rs</t>
  </si>
  <si>
    <t>AMOUNT</t>
  </si>
  <si>
    <t xml:space="preserve">Arthamatic and logical shifts </t>
  </si>
  <si>
    <t>MATAMATICAL OPERATION</t>
  </si>
  <si>
    <t>conditional branch short (Rs =&gt; offset)</t>
  </si>
  <si>
    <t>load (offset =&gt; signExtended)</t>
  </si>
  <si>
    <t>store (offset =&gt; signExtended)</t>
  </si>
  <si>
    <t>Immediate</t>
  </si>
  <si>
    <t>Function</t>
  </si>
  <si>
    <t>Standard Reg + Reg</t>
  </si>
  <si>
    <t>MODE FOR ALU OPS</t>
  </si>
  <si>
    <t>Multiplication</t>
  </si>
  <si>
    <t>Rs / IMMD</t>
  </si>
  <si>
    <t>DIV</t>
  </si>
  <si>
    <t>Division</t>
  </si>
  <si>
    <t>Rd &lt;- Rd+ Rs</t>
  </si>
  <si>
    <t>Rd &lt;- Rd *Rs</t>
  </si>
  <si>
    <t>Rd &lt;- Rd / Rs</t>
  </si>
  <si>
    <t xml:space="preserve">Shift operations </t>
  </si>
  <si>
    <t>Funtion calls</t>
  </si>
  <si>
    <t>function calls and returns</t>
  </si>
  <si>
    <t>FUNC</t>
  </si>
  <si>
    <t>Stop</t>
  </si>
  <si>
    <t>Rd &lt;- Rd || Rs</t>
  </si>
  <si>
    <t>STACK</t>
  </si>
  <si>
    <t>Push/Pop</t>
  </si>
  <si>
    <t>Stack operations</t>
  </si>
  <si>
    <t xml:space="preserve">compare reg to reg </t>
  </si>
  <si>
    <t>-</t>
  </si>
  <si>
    <t xml:space="preserve">Move </t>
  </si>
  <si>
    <t>Rd = Rs</t>
  </si>
  <si>
    <t>Move values between regesters</t>
  </si>
  <si>
    <t>Memory</t>
  </si>
  <si>
    <t>CODE/TEXT</t>
  </si>
  <si>
    <t>DATA/HEAP</t>
  </si>
  <si>
    <t>VRAM</t>
  </si>
  <si>
    <t>0x0000</t>
  </si>
  <si>
    <t>0x7FFF</t>
  </si>
  <si>
    <t>0x8000</t>
  </si>
  <si>
    <t>0xDFFF</t>
  </si>
  <si>
    <t>0xE000</t>
  </si>
  <si>
    <t>0xEFFF</t>
  </si>
  <si>
    <t>0xF000</t>
  </si>
  <si>
    <t>0xF0FF</t>
  </si>
  <si>
    <t>0xFF00</t>
  </si>
  <si>
    <t>0xFFFF</t>
  </si>
  <si>
    <t>I/O memory</t>
  </si>
  <si>
    <t>Rs / IMMD(255)</t>
  </si>
  <si>
    <t>MODE FOR SHF</t>
  </si>
  <si>
    <t>CODE</t>
  </si>
  <si>
    <t>Left Shift</t>
  </si>
  <si>
    <t>Logical Right Shift</t>
  </si>
  <si>
    <t>Arithmetic Right Shift</t>
  </si>
  <si>
    <t>Rotate Right</t>
  </si>
  <si>
    <t>Rd shiftop  amount</t>
  </si>
  <si>
    <t>Push(Rd)/Pop()</t>
  </si>
  <si>
    <t>001</t>
  </si>
  <si>
    <t>MODE FOR STACK</t>
  </si>
  <si>
    <t>X1</t>
  </si>
  <si>
    <t>00X</t>
  </si>
  <si>
    <t>01X</t>
  </si>
  <si>
    <t>10X</t>
  </si>
  <si>
    <t>11X</t>
  </si>
  <si>
    <t>0X</t>
  </si>
  <si>
    <t>1X</t>
  </si>
  <si>
    <t>PUSH</t>
  </si>
  <si>
    <t>POP</t>
  </si>
  <si>
    <t>Always</t>
  </si>
  <si>
    <t>== EQ</t>
  </si>
  <si>
    <t>!= NE</t>
  </si>
  <si>
    <t>&gt; GT</t>
  </si>
  <si>
    <t>&lt; LT</t>
  </si>
  <si>
    <t>&gt;= GE</t>
  </si>
  <si>
    <t>&lt;=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</si>
</sst>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A6C6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4" fillId="7" borderId="0" xfId="1" applyAlignment="1">
      <alignment horizontal="center" vertical="center"/>
    </xf>
    <xf numFmtId="0" fontId="4" fillId="11" borderId="0" xfId="5" applyAlignment="1">
      <alignment horizontal="center" vertical="center"/>
    </xf>
    <xf numFmtId="0" fontId="4" fillId="10" borderId="0" xfId="4" applyAlignment="1">
      <alignment horizontal="center" vertical="center"/>
    </xf>
    <xf numFmtId="0" fontId="4" fillId="9" borderId="0" xfId="3" applyAlignment="1">
      <alignment horizontal="center" vertical="center"/>
    </xf>
    <xf numFmtId="0" fontId="4" fillId="8" borderId="0" xfId="2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6">
    <cellStyle name="60% - Accent1" xfId="1" builtinId="32"/>
    <cellStyle name="60% - Accent2" xfId="2" builtinId="36"/>
    <cellStyle name="60% - Accent3" xfId="3" builtinId="40"/>
    <cellStyle name="60% - Accent4" xfId="4" builtinId="44"/>
    <cellStyle name="60% - Accent6" xfId="5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topLeftCell="A31" zoomScale="130" zoomScaleNormal="130" workbookViewId="0">
      <selection activeCell="J17" sqref="J17:Q17"/>
    </sheetView>
  </sheetViews>
  <sheetFormatPr defaultRowHeight="15"/>
  <cols>
    <col min="1" max="1" width="11" customWidth="1"/>
    <col min="2" max="2" width="36" customWidth="1"/>
    <col min="3" max="6" width="3.5703125" customWidth="1"/>
    <col min="7" max="18" width="5.28515625" customWidth="1"/>
    <col min="19" max="19" width="26.85546875" customWidth="1"/>
    <col min="20" max="20" width="48.7109375" customWidth="1"/>
    <col min="23" max="23" width="13.42578125" customWidth="1"/>
    <col min="25" max="25" width="11.5703125" customWidth="1"/>
  </cols>
  <sheetData>
    <row r="1" spans="1:25">
      <c r="C1" s="12" t="s">
        <v>0</v>
      </c>
      <c r="D1" s="12"/>
      <c r="E1" s="12"/>
      <c r="F1" s="12"/>
      <c r="G1" s="12"/>
      <c r="H1" s="12"/>
      <c r="I1" s="12"/>
      <c r="J1" s="12"/>
      <c r="K1" s="12" t="s">
        <v>1</v>
      </c>
      <c r="L1" s="12"/>
      <c r="M1" s="12"/>
      <c r="N1" s="12"/>
      <c r="O1" s="12"/>
      <c r="P1" s="12"/>
      <c r="Q1" s="12"/>
      <c r="R1" s="12"/>
    </row>
    <row r="2" spans="1:25">
      <c r="C2" s="1">
        <v>15</v>
      </c>
      <c r="D2" s="1">
        <v>14</v>
      </c>
      <c r="E2" s="1">
        <v>13</v>
      </c>
      <c r="F2" s="1">
        <v>12</v>
      </c>
      <c r="G2" s="1">
        <v>11</v>
      </c>
      <c r="H2" s="1">
        <v>10</v>
      </c>
      <c r="I2" s="1">
        <v>9</v>
      </c>
      <c r="J2" s="1">
        <v>8</v>
      </c>
      <c r="K2" s="1">
        <v>7</v>
      </c>
      <c r="L2" s="1">
        <v>6</v>
      </c>
      <c r="M2" s="1">
        <v>5</v>
      </c>
      <c r="N2" s="1">
        <v>4</v>
      </c>
      <c r="O2" s="1">
        <v>3</v>
      </c>
      <c r="P2" s="1">
        <v>2</v>
      </c>
      <c r="Q2" s="1">
        <v>1</v>
      </c>
      <c r="R2" s="1">
        <v>0</v>
      </c>
      <c r="V2" s="12" t="s">
        <v>75</v>
      </c>
      <c r="W2" s="12"/>
      <c r="Y2" s="1"/>
    </row>
    <row r="3" spans="1:25">
      <c r="A3" t="s">
        <v>2</v>
      </c>
      <c r="B3" t="s">
        <v>3</v>
      </c>
      <c r="C3" s="12" t="s">
        <v>4</v>
      </c>
      <c r="D3" s="12"/>
      <c r="E3" s="12"/>
      <c r="F3" s="12"/>
      <c r="G3" s="12" t="s">
        <v>5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t="s">
        <v>6</v>
      </c>
      <c r="T3" t="s">
        <v>7</v>
      </c>
      <c r="V3" t="s">
        <v>79</v>
      </c>
      <c r="W3" s="13" t="s">
        <v>76</v>
      </c>
    </row>
    <row r="4" spans="1:25">
      <c r="A4" s="2" t="s">
        <v>33</v>
      </c>
      <c r="B4" t="s">
        <v>35</v>
      </c>
      <c r="C4" s="12" t="str">
        <f>DEC2BIN(0, 4)</f>
        <v>0000</v>
      </c>
      <c r="D4" s="12"/>
      <c r="E4" s="12"/>
      <c r="F4" s="1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t="s">
        <v>36</v>
      </c>
      <c r="T4" t="s">
        <v>65</v>
      </c>
      <c r="W4" s="13"/>
    </row>
    <row r="5" spans="1:25">
      <c r="A5" s="4" t="s">
        <v>10</v>
      </c>
      <c r="B5" t="s">
        <v>11</v>
      </c>
      <c r="C5" s="12" t="str">
        <f>DEC2BIN(BIN2DEC(C4) + 1, 4)</f>
        <v>0001</v>
      </c>
      <c r="D5" s="12"/>
      <c r="E5" s="12"/>
      <c r="F5" s="12"/>
      <c r="G5" s="12" t="s">
        <v>42</v>
      </c>
      <c r="H5" s="12"/>
      <c r="I5" s="12"/>
      <c r="J5" s="12" t="s">
        <v>90</v>
      </c>
      <c r="K5" s="12"/>
      <c r="L5" s="12"/>
      <c r="M5" s="12"/>
      <c r="N5" s="12"/>
      <c r="O5" s="12"/>
      <c r="P5" s="12"/>
      <c r="Q5" s="12"/>
      <c r="R5" s="8" t="s">
        <v>9</v>
      </c>
      <c r="S5" t="s">
        <v>58</v>
      </c>
      <c r="T5" t="s">
        <v>46</v>
      </c>
      <c r="W5" s="13"/>
    </row>
    <row r="6" spans="1:25">
      <c r="A6" s="4" t="s">
        <v>12</v>
      </c>
      <c r="B6" t="s">
        <v>13</v>
      </c>
      <c r="C6" s="12" t="str">
        <f t="shared" ref="C6:C19" si="0">DEC2BIN(BIN2DEC(C5) + 1, 4)</f>
        <v>0010</v>
      </c>
      <c r="D6" s="12"/>
      <c r="E6" s="12"/>
      <c r="F6" s="12"/>
      <c r="G6" s="12" t="s">
        <v>42</v>
      </c>
      <c r="H6" s="12"/>
      <c r="I6" s="12"/>
      <c r="J6" s="12" t="s">
        <v>90</v>
      </c>
      <c r="K6" s="12"/>
      <c r="L6" s="12"/>
      <c r="M6" s="12"/>
      <c r="N6" s="12"/>
      <c r="O6" s="12"/>
      <c r="P6" s="12"/>
      <c r="Q6" s="12"/>
      <c r="R6" s="8" t="s">
        <v>9</v>
      </c>
      <c r="S6" t="s">
        <v>14</v>
      </c>
      <c r="T6" t="s">
        <v>46</v>
      </c>
      <c r="W6" s="13"/>
    </row>
    <row r="7" spans="1:25">
      <c r="A7" s="4" t="s">
        <v>23</v>
      </c>
      <c r="B7" t="s">
        <v>54</v>
      </c>
      <c r="C7" s="12" t="str">
        <f t="shared" si="0"/>
        <v>0011</v>
      </c>
      <c r="D7" s="12"/>
      <c r="E7" s="12"/>
      <c r="F7" s="12"/>
      <c r="G7" s="12" t="s">
        <v>42</v>
      </c>
      <c r="H7" s="12"/>
      <c r="I7" s="12"/>
      <c r="J7" s="12" t="s">
        <v>90</v>
      </c>
      <c r="K7" s="12"/>
      <c r="L7" s="12"/>
      <c r="M7" s="12"/>
      <c r="N7" s="12"/>
      <c r="O7" s="12"/>
      <c r="P7" s="12"/>
      <c r="Q7" s="12"/>
      <c r="R7" s="8" t="s">
        <v>9</v>
      </c>
      <c r="S7" t="s">
        <v>59</v>
      </c>
      <c r="T7" t="s">
        <v>46</v>
      </c>
      <c r="W7" s="13"/>
    </row>
    <row r="8" spans="1:25">
      <c r="A8" s="4" t="s">
        <v>56</v>
      </c>
      <c r="B8" t="s">
        <v>57</v>
      </c>
      <c r="C8" s="12" t="str">
        <f t="shared" si="0"/>
        <v>0100</v>
      </c>
      <c r="D8" s="12"/>
      <c r="E8" s="12"/>
      <c r="F8" s="12"/>
      <c r="G8" s="12" t="s">
        <v>42</v>
      </c>
      <c r="H8" s="12"/>
      <c r="I8" s="12"/>
      <c r="J8" s="12" t="s">
        <v>90</v>
      </c>
      <c r="K8" s="12"/>
      <c r="L8" s="12"/>
      <c r="M8" s="12"/>
      <c r="N8" s="12"/>
      <c r="O8" s="12"/>
      <c r="P8" s="12"/>
      <c r="Q8" s="12"/>
      <c r="R8" s="8" t="s">
        <v>9</v>
      </c>
      <c r="S8" t="s">
        <v>60</v>
      </c>
      <c r="T8" t="s">
        <v>46</v>
      </c>
      <c r="W8" s="13"/>
    </row>
    <row r="9" spans="1:25">
      <c r="A9" s="4" t="s">
        <v>15</v>
      </c>
      <c r="B9" t="s">
        <v>16</v>
      </c>
      <c r="C9" s="12" t="str">
        <f t="shared" si="0"/>
        <v>0101</v>
      </c>
      <c r="D9" s="12"/>
      <c r="E9" s="12"/>
      <c r="F9" s="12"/>
      <c r="G9" s="12" t="s">
        <v>42</v>
      </c>
      <c r="H9" s="12"/>
      <c r="I9" s="12"/>
      <c r="J9" s="12" t="s">
        <v>90</v>
      </c>
      <c r="K9" s="12"/>
      <c r="L9" s="12"/>
      <c r="M9" s="12"/>
      <c r="N9" s="12"/>
      <c r="O9" s="12"/>
      <c r="P9" s="12"/>
      <c r="Q9" s="12"/>
      <c r="R9" s="8" t="s">
        <v>9</v>
      </c>
      <c r="S9" t="s">
        <v>17</v>
      </c>
      <c r="T9" t="s">
        <v>46</v>
      </c>
      <c r="W9" s="13"/>
    </row>
    <row r="10" spans="1:25">
      <c r="A10" s="4" t="s">
        <v>18</v>
      </c>
      <c r="B10" t="s">
        <v>19</v>
      </c>
      <c r="C10" s="12" t="str">
        <f t="shared" si="0"/>
        <v>0110</v>
      </c>
      <c r="D10" s="12"/>
      <c r="E10" s="12"/>
      <c r="F10" s="12"/>
      <c r="G10" s="12" t="s">
        <v>42</v>
      </c>
      <c r="H10" s="12"/>
      <c r="I10" s="12"/>
      <c r="J10" s="12" t="s">
        <v>90</v>
      </c>
      <c r="K10" s="12"/>
      <c r="L10" s="12"/>
      <c r="M10" s="12"/>
      <c r="N10" s="12"/>
      <c r="O10" s="12"/>
      <c r="P10" s="12"/>
      <c r="Q10" s="12"/>
      <c r="R10" s="8" t="s">
        <v>9</v>
      </c>
      <c r="S10" t="s">
        <v>66</v>
      </c>
      <c r="T10" t="s">
        <v>46</v>
      </c>
      <c r="W10" s="13"/>
    </row>
    <row r="11" spans="1:25">
      <c r="A11" s="4" t="s">
        <v>20</v>
      </c>
      <c r="B11" t="s">
        <v>21</v>
      </c>
      <c r="C11" s="12" t="str">
        <f t="shared" si="0"/>
        <v>0111</v>
      </c>
      <c r="D11" s="12"/>
      <c r="E11" s="12"/>
      <c r="F11" s="12"/>
      <c r="G11" s="12" t="s">
        <v>42</v>
      </c>
      <c r="H11" s="12"/>
      <c r="I11" s="12"/>
      <c r="J11" s="12" t="s">
        <v>90</v>
      </c>
      <c r="K11" s="12"/>
      <c r="L11" s="12"/>
      <c r="M11" s="12"/>
      <c r="N11" s="12"/>
      <c r="O11" s="12"/>
      <c r="P11" s="12"/>
      <c r="Q11" s="12"/>
      <c r="R11" s="8" t="s">
        <v>9</v>
      </c>
      <c r="S11" t="s">
        <v>22</v>
      </c>
      <c r="T11" t="s">
        <v>46</v>
      </c>
      <c r="W11" s="13"/>
    </row>
    <row r="12" spans="1:25">
      <c r="A12" s="4" t="s">
        <v>24</v>
      </c>
      <c r="B12" t="s">
        <v>61</v>
      </c>
      <c r="C12" s="12" t="str">
        <f t="shared" si="0"/>
        <v>1000</v>
      </c>
      <c r="D12" s="12"/>
      <c r="E12" s="12"/>
      <c r="F12" s="12"/>
      <c r="G12" s="12" t="s">
        <v>42</v>
      </c>
      <c r="H12" s="12"/>
      <c r="I12" s="12"/>
      <c r="J12" s="12" t="s">
        <v>44</v>
      </c>
      <c r="K12" s="12"/>
      <c r="L12" s="12"/>
      <c r="M12" s="12"/>
      <c r="N12" s="12"/>
      <c r="O12" s="12"/>
      <c r="P12" s="12" t="s">
        <v>9</v>
      </c>
      <c r="Q12" s="12"/>
      <c r="R12" s="12"/>
      <c r="S12" t="s">
        <v>97</v>
      </c>
      <c r="T12" t="s">
        <v>45</v>
      </c>
      <c r="W12" s="13"/>
    </row>
    <row r="13" spans="1:25">
      <c r="A13" s="5" t="s">
        <v>8</v>
      </c>
      <c r="B13" t="s">
        <v>72</v>
      </c>
      <c r="C13" s="12" t="str">
        <f t="shared" si="0"/>
        <v>1001</v>
      </c>
      <c r="D13" s="12"/>
      <c r="E13" s="12"/>
      <c r="F13" s="12"/>
      <c r="G13" s="12" t="s">
        <v>42</v>
      </c>
      <c r="H13" s="12"/>
      <c r="I13" s="12"/>
      <c r="J13" s="12" t="s">
        <v>55</v>
      </c>
      <c r="K13" s="12"/>
      <c r="L13" s="12"/>
      <c r="M13" s="12"/>
      <c r="N13" s="12"/>
      <c r="O13" s="12"/>
      <c r="P13" s="12"/>
      <c r="Q13" s="12"/>
      <c r="R13" s="8" t="s">
        <v>9</v>
      </c>
      <c r="S13" t="s">
        <v>73</v>
      </c>
      <c r="T13" t="s">
        <v>74</v>
      </c>
      <c r="W13" s="13"/>
    </row>
    <row r="14" spans="1:25">
      <c r="A14" s="5" t="s">
        <v>25</v>
      </c>
      <c r="B14" t="s">
        <v>26</v>
      </c>
      <c r="C14" s="12" t="str">
        <f t="shared" si="0"/>
        <v>1010</v>
      </c>
      <c r="D14" s="12"/>
      <c r="E14" s="12"/>
      <c r="F14" s="12"/>
      <c r="G14" s="12" t="s">
        <v>42</v>
      </c>
      <c r="H14" s="12"/>
      <c r="I14" s="12"/>
      <c r="J14" s="12" t="s">
        <v>43</v>
      </c>
      <c r="K14" s="12"/>
      <c r="L14" s="12"/>
      <c r="M14" s="12" t="s">
        <v>41</v>
      </c>
      <c r="N14" s="12"/>
      <c r="O14" s="12"/>
      <c r="P14" s="12"/>
      <c r="Q14" s="12"/>
      <c r="R14" s="12"/>
      <c r="S14" t="s">
        <v>27</v>
      </c>
      <c r="T14" t="s">
        <v>48</v>
      </c>
      <c r="W14" s="13"/>
    </row>
    <row r="15" spans="1:25">
      <c r="A15" s="5" t="s">
        <v>28</v>
      </c>
      <c r="B15" t="s">
        <v>29</v>
      </c>
      <c r="C15" s="12" t="str">
        <f t="shared" si="0"/>
        <v>1011</v>
      </c>
      <c r="D15" s="12"/>
      <c r="E15" s="12"/>
      <c r="F15" s="12"/>
      <c r="G15" s="12" t="s">
        <v>42</v>
      </c>
      <c r="H15" s="12"/>
      <c r="I15" s="12"/>
      <c r="J15" s="12" t="s">
        <v>43</v>
      </c>
      <c r="K15" s="12"/>
      <c r="L15" s="12"/>
      <c r="M15" s="12" t="s">
        <v>41</v>
      </c>
      <c r="N15" s="12"/>
      <c r="O15" s="12"/>
      <c r="P15" s="12"/>
      <c r="Q15" s="12"/>
      <c r="R15" s="12"/>
      <c r="S15" t="s">
        <v>30</v>
      </c>
      <c r="T15" t="s">
        <v>49</v>
      </c>
      <c r="W15" s="13"/>
    </row>
    <row r="16" spans="1:25">
      <c r="A16" s="5" t="s">
        <v>67</v>
      </c>
      <c r="B16" t="s">
        <v>68</v>
      </c>
      <c r="C16" s="12" t="str">
        <f t="shared" si="0"/>
        <v>1100</v>
      </c>
      <c r="D16" s="12"/>
      <c r="E16" s="12"/>
      <c r="F16" s="12"/>
      <c r="G16" s="12" t="s">
        <v>42</v>
      </c>
      <c r="H16" s="12"/>
      <c r="I16" s="12"/>
      <c r="J16" s="12"/>
      <c r="K16" s="12"/>
      <c r="L16" s="12"/>
      <c r="M16" s="12"/>
      <c r="N16" s="12"/>
      <c r="O16" s="12"/>
      <c r="P16" s="12"/>
      <c r="Q16" s="12" t="s">
        <v>9</v>
      </c>
      <c r="R16" s="12"/>
      <c r="S16" t="s">
        <v>98</v>
      </c>
      <c r="T16" t="s">
        <v>69</v>
      </c>
      <c r="W16" s="13"/>
    </row>
    <row r="17" spans="1:23">
      <c r="A17" s="6" t="s">
        <v>31</v>
      </c>
      <c r="B17" t="s">
        <v>39</v>
      </c>
      <c r="C17" s="12" t="str">
        <f t="shared" si="0"/>
        <v>1101</v>
      </c>
      <c r="D17" s="12"/>
      <c r="E17" s="12"/>
      <c r="F17" s="12"/>
      <c r="G17" s="12" t="s">
        <v>42</v>
      </c>
      <c r="H17" s="12"/>
      <c r="I17" s="12"/>
      <c r="J17" s="12" t="s">
        <v>43</v>
      </c>
      <c r="K17" s="12"/>
      <c r="L17" s="12"/>
      <c r="M17" s="12"/>
      <c r="N17" s="12"/>
      <c r="O17" s="12"/>
      <c r="P17" s="12"/>
      <c r="Q17" s="12"/>
      <c r="R17" s="8" t="s">
        <v>9</v>
      </c>
      <c r="S17" t="s">
        <v>38</v>
      </c>
      <c r="T17" t="s">
        <v>70</v>
      </c>
      <c r="W17" s="13"/>
    </row>
    <row r="18" spans="1:23">
      <c r="A18" s="6" t="s">
        <v>32</v>
      </c>
      <c r="B18" t="s">
        <v>40</v>
      </c>
      <c r="C18" s="12" t="str">
        <f t="shared" si="0"/>
        <v>1110</v>
      </c>
      <c r="D18" s="12"/>
      <c r="E18" s="12"/>
      <c r="F18" s="12"/>
      <c r="G18" s="12" t="s">
        <v>41</v>
      </c>
      <c r="H18" s="12"/>
      <c r="I18" s="12"/>
      <c r="J18" s="12"/>
      <c r="K18" s="12"/>
      <c r="L18" s="12"/>
      <c r="M18" s="12"/>
      <c r="N18" s="12"/>
      <c r="O18" s="12"/>
      <c r="P18" s="12" t="s">
        <v>9</v>
      </c>
      <c r="Q18" s="12"/>
      <c r="R18" s="12"/>
      <c r="S18" t="s">
        <v>71</v>
      </c>
      <c r="T18" t="s">
        <v>47</v>
      </c>
      <c r="W18" s="13"/>
    </row>
    <row r="19" spans="1:23">
      <c r="A19" s="6" t="s">
        <v>64</v>
      </c>
      <c r="B19" t="s">
        <v>62</v>
      </c>
      <c r="C19" s="12" t="str">
        <f t="shared" si="0"/>
        <v>1111</v>
      </c>
      <c r="D19" s="12"/>
      <c r="E19" s="12"/>
      <c r="F19" s="12"/>
      <c r="G19" s="12" t="s">
        <v>41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8" t="s">
        <v>9</v>
      </c>
      <c r="S19" s="10" t="s">
        <v>71</v>
      </c>
      <c r="T19" t="s">
        <v>63</v>
      </c>
      <c r="V19" t="s">
        <v>80</v>
      </c>
      <c r="W19" s="13"/>
    </row>
    <row r="20" spans="1:23">
      <c r="V20" t="s">
        <v>81</v>
      </c>
      <c r="W20" s="14" t="s">
        <v>77</v>
      </c>
    </row>
    <row r="21" spans="1:23">
      <c r="W21" s="14"/>
    </row>
    <row r="22" spans="1:23">
      <c r="W22" s="14"/>
    </row>
    <row r="23" spans="1:23">
      <c r="W23" s="14"/>
    </row>
    <row r="24" spans="1:23">
      <c r="A24" s="12" t="s">
        <v>34</v>
      </c>
      <c r="B24" s="12"/>
      <c r="W24" s="14"/>
    </row>
    <row r="25" spans="1:23">
      <c r="A25" t="s">
        <v>37</v>
      </c>
      <c r="B25" t="s">
        <v>9</v>
      </c>
      <c r="W25" s="14"/>
    </row>
    <row r="26" spans="1:23">
      <c r="A26" s="7" t="str">
        <f>DEC2BIN(0, 3)</f>
        <v>000</v>
      </c>
      <c r="B26" s="19" t="s">
        <v>111</v>
      </c>
      <c r="W26" s="14"/>
    </row>
    <row r="27" spans="1:23">
      <c r="A27" s="7" t="str">
        <f>DEC2BIN((BIN2DEC(A26)  + 1), 3)</f>
        <v>001</v>
      </c>
      <c r="B27" t="s">
        <v>112</v>
      </c>
      <c r="W27" s="14"/>
    </row>
    <row r="28" spans="1:23">
      <c r="A28" s="7" t="str">
        <f t="shared" ref="A28:A33" si="1">DEC2BIN((BIN2DEC(A27)  + 1), 3)</f>
        <v>010</v>
      </c>
      <c r="B28" t="s">
        <v>113</v>
      </c>
      <c r="W28" s="14"/>
    </row>
    <row r="29" spans="1:23">
      <c r="A29" s="7" t="str">
        <f t="shared" si="1"/>
        <v>011</v>
      </c>
      <c r="B29" t="s">
        <v>114</v>
      </c>
      <c r="W29" s="14"/>
    </row>
    <row r="30" spans="1:23">
      <c r="A30" s="7" t="str">
        <f t="shared" si="1"/>
        <v>100</v>
      </c>
      <c r="B30" t="s">
        <v>115</v>
      </c>
      <c r="W30" s="14"/>
    </row>
    <row r="31" spans="1:23">
      <c r="A31" s="7" t="str">
        <f t="shared" si="1"/>
        <v>101</v>
      </c>
      <c r="B31" t="s">
        <v>116</v>
      </c>
      <c r="V31" t="s">
        <v>82</v>
      </c>
      <c r="W31" s="14"/>
    </row>
    <row r="32" spans="1:23">
      <c r="A32" s="7" t="str">
        <f t="shared" si="1"/>
        <v>110</v>
      </c>
      <c r="B32" t="s">
        <v>110</v>
      </c>
      <c r="V32" t="s">
        <v>83</v>
      </c>
      <c r="W32" s="15" t="s">
        <v>78</v>
      </c>
    </row>
    <row r="33" spans="1:23">
      <c r="A33" s="7" t="str">
        <f t="shared" si="1"/>
        <v>111</v>
      </c>
      <c r="V33" t="s">
        <v>84</v>
      </c>
      <c r="W33" s="15"/>
    </row>
    <row r="34" spans="1:23" ht="15" customHeight="1">
      <c r="V34" t="s">
        <v>85</v>
      </c>
      <c r="W34" s="17" t="s">
        <v>89</v>
      </c>
    </row>
    <row r="35" spans="1:23" ht="15" customHeight="1">
      <c r="A35" s="12" t="s">
        <v>53</v>
      </c>
      <c r="B35" s="12"/>
      <c r="V35" t="s">
        <v>86</v>
      </c>
      <c r="W35" s="17"/>
    </row>
    <row r="36" spans="1:23" ht="15" customHeight="1">
      <c r="A36" s="1" t="s">
        <v>37</v>
      </c>
      <c r="B36" s="1" t="s">
        <v>51</v>
      </c>
      <c r="V36" t="s">
        <v>87</v>
      </c>
      <c r="W36" s="16" t="s">
        <v>67</v>
      </c>
    </row>
    <row r="37" spans="1:23" ht="15" customHeight="1">
      <c r="A37" s="1">
        <v>0</v>
      </c>
      <c r="B37" t="s">
        <v>52</v>
      </c>
      <c r="V37" t="s">
        <v>88</v>
      </c>
      <c r="W37" s="16"/>
    </row>
    <row r="38" spans="1:23" ht="15" customHeight="1">
      <c r="A38" s="1">
        <v>1</v>
      </c>
      <c r="B38" t="s">
        <v>50</v>
      </c>
    </row>
    <row r="39" spans="1:23" ht="15" customHeight="1">
      <c r="A39" s="9"/>
    </row>
    <row r="40" spans="1:23" ht="15" customHeight="1">
      <c r="A40" s="18" t="s">
        <v>91</v>
      </c>
      <c r="B40" s="18"/>
    </row>
    <row r="41" spans="1:23" ht="15" customHeight="1">
      <c r="A41" s="9" t="s">
        <v>92</v>
      </c>
      <c r="B41" s="1" t="s">
        <v>51</v>
      </c>
    </row>
    <row r="42" spans="1:23">
      <c r="A42" s="9" t="s">
        <v>99</v>
      </c>
      <c r="B42" t="s">
        <v>50</v>
      </c>
    </row>
    <row r="43" spans="1:23">
      <c r="A43" s="11" t="s">
        <v>102</v>
      </c>
      <c r="B43" t="s">
        <v>93</v>
      </c>
    </row>
    <row r="44" spans="1:23">
      <c r="A44" s="11" t="s">
        <v>103</v>
      </c>
      <c r="B44" t="s">
        <v>94</v>
      </c>
    </row>
    <row r="45" spans="1:23">
      <c r="A45" s="11" t="s">
        <v>104</v>
      </c>
      <c r="B45" t="s">
        <v>95</v>
      </c>
    </row>
    <row r="46" spans="1:23">
      <c r="A46" s="11" t="s">
        <v>105</v>
      </c>
      <c r="B46" t="s">
        <v>96</v>
      </c>
    </row>
    <row r="48" spans="1:23">
      <c r="A48" s="12" t="s">
        <v>100</v>
      </c>
      <c r="B48" s="12"/>
    </row>
    <row r="49" spans="1:2">
      <c r="A49" s="11" t="s">
        <v>92</v>
      </c>
      <c r="B49" s="1" t="s">
        <v>51</v>
      </c>
    </row>
    <row r="50" spans="1:2">
      <c r="A50" s="11" t="s">
        <v>101</v>
      </c>
      <c r="B50" t="s">
        <v>50</v>
      </c>
    </row>
    <row r="51" spans="1:2">
      <c r="A51" s="11" t="s">
        <v>106</v>
      </c>
      <c r="B51" t="s">
        <v>108</v>
      </c>
    </row>
    <row r="52" spans="1:2">
      <c r="A52" s="11" t="s">
        <v>107</v>
      </c>
      <c r="B52" t="s">
        <v>109</v>
      </c>
    </row>
  </sheetData>
  <mergeCells count="62">
    <mergeCell ref="A48:B48"/>
    <mergeCell ref="J17:Q17"/>
    <mergeCell ref="A40:B40"/>
    <mergeCell ref="C5:F5"/>
    <mergeCell ref="C7:F7"/>
    <mergeCell ref="G13:I13"/>
    <mergeCell ref="G7:I7"/>
    <mergeCell ref="G5:I5"/>
    <mergeCell ref="C12:F12"/>
    <mergeCell ref="C13:F13"/>
    <mergeCell ref="G6:I6"/>
    <mergeCell ref="G8:I8"/>
    <mergeCell ref="G9:I9"/>
    <mergeCell ref="G10:I10"/>
    <mergeCell ref="G11:I11"/>
    <mergeCell ref="A35:B35"/>
    <mergeCell ref="C17:F17"/>
    <mergeCell ref="C18:F18"/>
    <mergeCell ref="C19:F19"/>
    <mergeCell ref="G19:Q19"/>
    <mergeCell ref="G18:O18"/>
    <mergeCell ref="A24:B24"/>
    <mergeCell ref="C14:F14"/>
    <mergeCell ref="C15:F15"/>
    <mergeCell ref="C16:F16"/>
    <mergeCell ref="G14:I14"/>
    <mergeCell ref="J14:L14"/>
    <mergeCell ref="M14:R14"/>
    <mergeCell ref="G15:I15"/>
    <mergeCell ref="J15:L15"/>
    <mergeCell ref="G17:I17"/>
    <mergeCell ref="P18:R18"/>
    <mergeCell ref="Q16:R16"/>
    <mergeCell ref="C6:F6"/>
    <mergeCell ref="C8:F8"/>
    <mergeCell ref="C9:F9"/>
    <mergeCell ref="C10:F10"/>
    <mergeCell ref="C11:F11"/>
    <mergeCell ref="C1:J1"/>
    <mergeCell ref="K1:R1"/>
    <mergeCell ref="C3:F3"/>
    <mergeCell ref="G3:R3"/>
    <mergeCell ref="C4:F4"/>
    <mergeCell ref="W36:W37"/>
    <mergeCell ref="W34:W35"/>
    <mergeCell ref="G12:I12"/>
    <mergeCell ref="M15:R15"/>
    <mergeCell ref="J13:Q13"/>
    <mergeCell ref="J12:O12"/>
    <mergeCell ref="P12:R12"/>
    <mergeCell ref="G16:P16"/>
    <mergeCell ref="V2:W2"/>
    <mergeCell ref="W3:W19"/>
    <mergeCell ref="W20:W31"/>
    <mergeCell ref="W32:W33"/>
    <mergeCell ref="J5:Q5"/>
    <mergeCell ref="J6:Q6"/>
    <mergeCell ref="J7:Q7"/>
    <mergeCell ref="J8:Q8"/>
    <mergeCell ref="J9:Q9"/>
    <mergeCell ref="J10:Q10"/>
    <mergeCell ref="J11:Q11"/>
  </mergeCells>
  <pageMargins left="0.7" right="0.7" top="0.75" bottom="0.75" header="0.3" footer="0.3"/>
  <ignoredErrors>
    <ignoredError sqref="A39 A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22051037</dc:creator>
  <cp:lastModifiedBy>Sumedh Tiwari</cp:lastModifiedBy>
  <dcterms:created xsi:type="dcterms:W3CDTF">2015-06-05T18:17:20Z</dcterms:created>
  <dcterms:modified xsi:type="dcterms:W3CDTF">2025-12-04T19:36:45Z</dcterms:modified>
</cp:coreProperties>
</file>